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859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D3" i="3"/>
  <c r="D4" i="3"/>
  <c r="D2" i="3"/>
  <c r="C3" i="3"/>
  <c r="C4" i="3"/>
  <c r="E2" i="3"/>
  <c r="C2" i="3"/>
  <c r="C9" i="2"/>
  <c r="F7" i="2"/>
  <c r="H3" i="2"/>
  <c r="H6" i="2"/>
  <c r="H5" i="2"/>
  <c r="C7" i="2"/>
  <c r="E7" i="2"/>
  <c r="D7" i="2"/>
  <c r="H4" i="2"/>
  <c r="D6" i="1" l="1"/>
  <c r="E6" i="1"/>
  <c r="G7" i="1"/>
  <c r="F7" i="1"/>
  <c r="E5" i="1"/>
  <c r="E4" i="1"/>
  <c r="C7" i="1"/>
  <c r="G5" i="1"/>
  <c r="E8" i="1"/>
  <c r="E7" i="1"/>
  <c r="G8" i="1"/>
  <c r="C2" i="1" l="1"/>
  <c r="D8" i="1"/>
  <c r="F11" i="1"/>
  <c r="F5" i="1"/>
  <c r="D7" i="1"/>
  <c r="H7" i="1" s="1"/>
  <c r="G9" i="1"/>
  <c r="G10" i="1"/>
  <c r="G11" i="1"/>
  <c r="G6" i="1"/>
  <c r="G2" i="1"/>
  <c r="G3" i="1"/>
  <c r="F3" i="1"/>
  <c r="E9" i="1"/>
  <c r="E10" i="1"/>
  <c r="E11" i="1"/>
  <c r="F8" i="1"/>
  <c r="F9" i="1"/>
  <c r="F10" i="1"/>
  <c r="F6" i="1"/>
  <c r="G4" i="1"/>
  <c r="F4" i="1"/>
  <c r="F2" i="1"/>
  <c r="E3" i="1"/>
  <c r="E2" i="1"/>
  <c r="D10" i="1"/>
  <c r="D9" i="1"/>
  <c r="D5" i="1"/>
  <c r="D3" i="1"/>
  <c r="D4" i="1"/>
  <c r="D2" i="1"/>
  <c r="D11" i="1"/>
  <c r="C11" i="1"/>
  <c r="C9" i="1"/>
  <c r="C10" i="1"/>
  <c r="C5" i="1"/>
  <c r="C8" i="1"/>
  <c r="C6" i="1"/>
  <c r="C4" i="1"/>
  <c r="C3" i="1"/>
  <c r="H8" i="1" l="1"/>
  <c r="I8" i="1" s="1"/>
  <c r="O17" i="1" s="1"/>
  <c r="C12" i="1"/>
  <c r="D12" i="1"/>
  <c r="C13" i="1"/>
  <c r="F12" i="1"/>
  <c r="G12" i="1"/>
  <c r="E12" i="1"/>
  <c r="G13" i="1"/>
  <c r="F13" i="1"/>
  <c r="E13" i="1"/>
  <c r="D13" i="1"/>
  <c r="H5" i="1"/>
  <c r="I5" i="1" s="1"/>
  <c r="O14" i="1" s="1"/>
  <c r="H10" i="1"/>
  <c r="I10" i="1" s="1"/>
  <c r="O19" i="1" s="1"/>
  <c r="H11" i="1"/>
  <c r="I11" i="1" s="1"/>
  <c r="O20" i="1" s="1"/>
  <c r="H2" i="1"/>
  <c r="H3" i="1"/>
  <c r="I3" i="1" s="1"/>
  <c r="O12" i="1" s="1"/>
  <c r="H4" i="1"/>
  <c r="I4" i="1" s="1"/>
  <c r="O13" i="1" s="1"/>
  <c r="H6" i="1"/>
  <c r="I6" i="1" s="1"/>
  <c r="O15" i="1" s="1"/>
  <c r="H9" i="1"/>
  <c r="I9" i="1" s="1"/>
  <c r="O18" i="1" s="1"/>
  <c r="I7" i="1" l="1"/>
  <c r="O16" i="1" s="1"/>
  <c r="J10" i="1"/>
  <c r="J7" i="1"/>
  <c r="J5" i="1"/>
  <c r="J4" i="1"/>
  <c r="J6" i="1"/>
  <c r="J11" i="1"/>
  <c r="J9" i="1"/>
  <c r="I2" i="1"/>
  <c r="O11" i="1" s="1"/>
  <c r="J8" i="1" l="1"/>
  <c r="J2" i="1"/>
  <c r="J3" i="1"/>
</calcChain>
</file>

<file path=xl/sharedStrings.xml><?xml version="1.0" encoding="utf-8"?>
<sst xmlns="http://schemas.openxmlformats.org/spreadsheetml/2006/main" count="52" uniqueCount="39">
  <si>
    <t>Roll no</t>
  </si>
  <si>
    <t>Name</t>
  </si>
  <si>
    <t>English</t>
  </si>
  <si>
    <t>Maths</t>
  </si>
  <si>
    <t>Physics</t>
  </si>
  <si>
    <t>Chemistry</t>
  </si>
  <si>
    <t>Computing</t>
  </si>
  <si>
    <t>Total</t>
  </si>
  <si>
    <t>Total Percentage</t>
  </si>
  <si>
    <t>20201-BCE-024</t>
  </si>
  <si>
    <t>SARIM</t>
  </si>
  <si>
    <t>WAHAB</t>
  </si>
  <si>
    <t>SOHAIL</t>
  </si>
  <si>
    <t>AYESHA</t>
  </si>
  <si>
    <t>FATIMA</t>
  </si>
  <si>
    <t>ZARA</t>
  </si>
  <si>
    <t>SARA</t>
  </si>
  <si>
    <t>ALI</t>
  </si>
  <si>
    <t>AHMED</t>
  </si>
  <si>
    <t>AYAN</t>
  </si>
  <si>
    <t>20201-BCE-025</t>
  </si>
  <si>
    <t>20201-BCE-027</t>
  </si>
  <si>
    <t>20201-BCE026</t>
  </si>
  <si>
    <t>20201-BCE-021</t>
  </si>
  <si>
    <t>20201-BCE023</t>
  </si>
  <si>
    <t>20201-BCE-022</t>
  </si>
  <si>
    <t>20201-BCE028</t>
  </si>
  <si>
    <t>20201-BCE-029</t>
  </si>
  <si>
    <t>20201-BCE-030</t>
  </si>
  <si>
    <t>Min. marks of subjects</t>
  </si>
  <si>
    <t>Max. marks of subject</t>
  </si>
  <si>
    <t>Grade</t>
  </si>
  <si>
    <t>Percentage</t>
  </si>
  <si>
    <t>TEMPERATURE IN (C OR F )</t>
  </si>
  <si>
    <t>TEMPERATURE VALUE</t>
  </si>
  <si>
    <t>IN FAHRENHEIT</t>
  </si>
  <si>
    <t>IN CELSIUS</t>
  </si>
  <si>
    <t>WEATHER CONDITION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</si>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</sst>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Bahnschrift SemiBold Condensed"/>
      <family val="2"/>
    </font>
    <font>
      <sz val="12"/>
      <color theme="1"/>
      <name val="Bahnschrift SemiBold SemiConden"/>
      <family val="2"/>
    </font>
    <font>
      <sz val="12"/>
      <color theme="1"/>
      <name val="Bahnschrift SemiCondense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7" xfId="0" applyBorder="1"/>
    <xf numFmtId="0" fontId="0" fillId="0" borderId="11" xfId="0" applyBorder="1"/>
    <xf numFmtId="0" fontId="0" fillId="0" borderId="15" xfId="0" applyBorder="1"/>
    <xf numFmtId="0" fontId="3" fillId="0" borderId="0" xfId="0" applyFont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zoomScale="80" zoomScaleNormal="138" workbookViewId="0">
      <selection activeCell="H8" sqref="H8"/>
    </sheetView>
  </sheetViews>
  <sheetFormatPr defaultRowHeight="14.4" x14ac:dyDescent="0.3"/>
  <cols>
    <col min="1" max="1" width="20.44140625" bestFit="1" customWidth="1"/>
    <col min="9" max="9" width="13.6640625" bestFit="1" customWidth="1"/>
    <col min="10" max="10" width="17.44140625" bestFit="1" customWidth="1"/>
    <col min="11" max="11" width="17.88671875" bestFit="1" customWidth="1"/>
    <col min="14" max="14" width="14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31</v>
      </c>
      <c r="K1" s="1"/>
      <c r="L1" s="1"/>
      <c r="M1" s="1"/>
    </row>
    <row r="2" spans="1:15" x14ac:dyDescent="0.3">
      <c r="A2" t="s">
        <v>23</v>
      </c>
      <c r="B2" t="s">
        <v>18</v>
      </c>
      <c r="C2">
        <f t="shared" ref="C2:G7" ca="1" si="0">RANDBETWEEN(0, 100)</f>
        <v>21</v>
      </c>
      <c r="D2">
        <f t="shared" ca="1" si="0"/>
        <v>26</v>
      </c>
      <c r="E2">
        <f t="shared" ca="1" si="0"/>
        <v>57</v>
      </c>
      <c r="F2">
        <f t="shared" ca="1" si="0"/>
        <v>38</v>
      </c>
      <c r="G2">
        <f t="shared" ca="1" si="0"/>
        <v>36</v>
      </c>
      <c r="H2">
        <f t="shared" ref="H2:H11" ca="1" si="1">SUM(C2:G2)</f>
        <v>178</v>
      </c>
      <c r="I2">
        <f ca="1">ROUND((H2/500) * 100, 1)</f>
        <v>35.6</v>
      </c>
      <c r="J2" t="str">
        <f ca="1">IF(I2&gt;=90, "A", IF(I2&gt;=80, "B", IF(I2&gt;=70, "C", "F")))</f>
        <v>F</v>
      </c>
    </row>
    <row r="3" spans="1:15" x14ac:dyDescent="0.3">
      <c r="A3" t="s">
        <v>25</v>
      </c>
      <c r="B3" t="s">
        <v>11</v>
      </c>
      <c r="C3">
        <f t="shared" ca="1" si="0"/>
        <v>63</v>
      </c>
      <c r="D3">
        <f t="shared" ca="1" si="0"/>
        <v>77</v>
      </c>
      <c r="E3">
        <f t="shared" ca="1" si="0"/>
        <v>81</v>
      </c>
      <c r="F3">
        <f t="shared" ca="1" si="0"/>
        <v>91</v>
      </c>
      <c r="G3">
        <f t="shared" ca="1" si="0"/>
        <v>71</v>
      </c>
      <c r="H3">
        <f t="shared" ca="1" si="1"/>
        <v>383</v>
      </c>
      <c r="I3">
        <f t="shared" ref="I3:I11" ca="1" si="2">ROUND((H3/500) * 100, 1)</f>
        <v>76.599999999999994</v>
      </c>
      <c r="J3" t="str">
        <f ca="1">IF(I2&gt;=90, "A", IF(I2&gt;=80, "B", IF(I2&gt;=70, "C", "F")))</f>
        <v>F</v>
      </c>
    </row>
    <row r="4" spans="1:15" x14ac:dyDescent="0.3">
      <c r="A4" t="s">
        <v>24</v>
      </c>
      <c r="B4" t="s">
        <v>19</v>
      </c>
      <c r="C4">
        <f t="shared" ca="1" si="0"/>
        <v>81</v>
      </c>
      <c r="D4">
        <f t="shared" ca="1" si="0"/>
        <v>4</v>
      </c>
      <c r="E4">
        <f ca="1">RANDBETWEEN(0, 100)</f>
        <v>76</v>
      </c>
      <c r="F4">
        <f t="shared" ca="1" si="0"/>
        <v>60</v>
      </c>
      <c r="G4">
        <f t="shared" ca="1" si="0"/>
        <v>55</v>
      </c>
      <c r="H4">
        <f t="shared" ca="1" si="1"/>
        <v>276</v>
      </c>
      <c r="I4">
        <f t="shared" ca="1" si="2"/>
        <v>55.2</v>
      </c>
      <c r="J4" t="str">
        <f t="shared" ref="J4:J11" ca="1" si="3">IF(I3&gt;=90, "A", IF(I3&gt;=80, "B", IF(I3&gt;=70, "C", "F")))</f>
        <v>C</v>
      </c>
    </row>
    <row r="5" spans="1:15" x14ac:dyDescent="0.3">
      <c r="A5" t="s">
        <v>9</v>
      </c>
      <c r="B5" t="s">
        <v>10</v>
      </c>
      <c r="C5">
        <f t="shared" ca="1" si="0"/>
        <v>2</v>
      </c>
      <c r="D5">
        <f t="shared" ca="1" si="0"/>
        <v>5</v>
      </c>
      <c r="E5">
        <f ca="1">RANDBETWEEN(0, 100)</f>
        <v>62</v>
      </c>
      <c r="F5">
        <f t="shared" ca="1" si="0"/>
        <v>24</v>
      </c>
      <c r="G5">
        <f ca="1">RANDBETWEEN(0, 100)</f>
        <v>6</v>
      </c>
      <c r="H5">
        <f t="shared" ca="1" si="1"/>
        <v>99</v>
      </c>
      <c r="I5">
        <f t="shared" ca="1" si="2"/>
        <v>19.8</v>
      </c>
      <c r="J5" t="str">
        <f t="shared" ca="1" si="3"/>
        <v>F</v>
      </c>
    </row>
    <row r="6" spans="1:15" x14ac:dyDescent="0.3">
      <c r="A6" t="s">
        <v>20</v>
      </c>
      <c r="B6" t="s">
        <v>14</v>
      </c>
      <c r="C6">
        <f t="shared" ca="1" si="0"/>
        <v>82</v>
      </c>
      <c r="D6">
        <f ca="1">RANDBETWEEN(0, 100)</f>
        <v>57</v>
      </c>
      <c r="E6">
        <f ca="1">RANDBETWEEN(0, 100)</f>
        <v>72</v>
      </c>
      <c r="F6">
        <f t="shared" ca="1" si="0"/>
        <v>79</v>
      </c>
      <c r="G6">
        <f t="shared" ca="1" si="0"/>
        <v>75</v>
      </c>
      <c r="H6">
        <f t="shared" ca="1" si="1"/>
        <v>365</v>
      </c>
      <c r="I6">
        <f t="shared" ca="1" si="2"/>
        <v>73</v>
      </c>
      <c r="J6" t="str">
        <f t="shared" ca="1" si="3"/>
        <v>F</v>
      </c>
    </row>
    <row r="7" spans="1:15" x14ac:dyDescent="0.3">
      <c r="A7" t="s">
        <v>22</v>
      </c>
      <c r="B7" t="s">
        <v>16</v>
      </c>
      <c r="C7">
        <f ca="1">RANDBETWEEN(0, 100)</f>
        <v>71</v>
      </c>
      <c r="D7">
        <f t="shared" ca="1" si="0"/>
        <v>86</v>
      </c>
      <c r="E7">
        <f ca="1">RANDBETWEEN(0, 100)</f>
        <v>16</v>
      </c>
      <c r="F7">
        <f ca="1">RANDBETWEEN(0, 100)</f>
        <v>57</v>
      </c>
      <c r="G7">
        <f ca="1">RANDBETWEEN(0, 100)</f>
        <v>57</v>
      </c>
      <c r="H7">
        <f ca="1">SUM(C7:G7)</f>
        <v>287</v>
      </c>
      <c r="I7">
        <f ca="1">ROUND((H7/500) * 100, 1)</f>
        <v>57.4</v>
      </c>
      <c r="J7" t="str">
        <f t="shared" ca="1" si="3"/>
        <v>C</v>
      </c>
    </row>
    <row r="8" spans="1:15" x14ac:dyDescent="0.3">
      <c r="A8" t="s">
        <v>21</v>
      </c>
      <c r="B8" t="s">
        <v>15</v>
      </c>
      <c r="C8">
        <f t="shared" ref="C8:D11" ca="1" si="4">RANDBETWEEN(0, 100)</f>
        <v>72</v>
      </c>
      <c r="D8">
        <f t="shared" ca="1" si="4"/>
        <v>74</v>
      </c>
      <c r="E8">
        <f ca="1">RANDBETWEEN(0, 100)</f>
        <v>13</v>
      </c>
      <c r="F8">
        <f t="shared" ref="F8:G11" ca="1" si="5">RANDBETWEEN(0, 100)</f>
        <v>90</v>
      </c>
      <c r="G8">
        <f ca="1">RANDBETWEEN(0, 100)</f>
        <v>34</v>
      </c>
      <c r="H8">
        <f t="shared" ca="1" si="1"/>
        <v>283</v>
      </c>
      <c r="I8">
        <f t="shared" ca="1" si="2"/>
        <v>56.6</v>
      </c>
      <c r="J8" t="str">
        <f t="shared" ca="1" si="3"/>
        <v>F</v>
      </c>
    </row>
    <row r="9" spans="1:15" ht="15" thickBot="1" x14ac:dyDescent="0.35">
      <c r="A9" t="s">
        <v>26</v>
      </c>
      <c r="B9" t="s">
        <v>13</v>
      </c>
      <c r="C9">
        <f t="shared" ca="1" si="4"/>
        <v>60</v>
      </c>
      <c r="D9">
        <f t="shared" ca="1" si="4"/>
        <v>79</v>
      </c>
      <c r="E9">
        <f t="shared" ref="E9:E11" ca="1" si="6">RANDBETWEEN(0, 100)</f>
        <v>16</v>
      </c>
      <c r="F9">
        <f t="shared" ca="1" si="5"/>
        <v>90</v>
      </c>
      <c r="G9">
        <f t="shared" ca="1" si="5"/>
        <v>71</v>
      </c>
      <c r="H9">
        <f t="shared" ca="1" si="1"/>
        <v>316</v>
      </c>
      <c r="I9">
        <f t="shared" ca="1" si="2"/>
        <v>63.2</v>
      </c>
      <c r="J9" t="str">
        <f t="shared" ca="1" si="3"/>
        <v>F</v>
      </c>
    </row>
    <row r="10" spans="1:15" ht="15.6" x14ac:dyDescent="0.3">
      <c r="A10" t="s">
        <v>27</v>
      </c>
      <c r="B10" t="s">
        <v>12</v>
      </c>
      <c r="C10">
        <f t="shared" ca="1" si="4"/>
        <v>62</v>
      </c>
      <c r="D10">
        <f t="shared" ca="1" si="4"/>
        <v>29</v>
      </c>
      <c r="E10">
        <f t="shared" ca="1" si="6"/>
        <v>2</v>
      </c>
      <c r="F10">
        <f t="shared" ca="1" si="5"/>
        <v>23</v>
      </c>
      <c r="G10">
        <f t="shared" ca="1" si="5"/>
        <v>10</v>
      </c>
      <c r="H10">
        <f t="shared" ca="1" si="1"/>
        <v>126</v>
      </c>
      <c r="I10">
        <f t="shared" ca="1" si="2"/>
        <v>25.2</v>
      </c>
      <c r="J10" t="str">
        <f t="shared" ca="1" si="3"/>
        <v>F</v>
      </c>
      <c r="N10" s="8" t="s">
        <v>0</v>
      </c>
      <c r="O10" s="8" t="s">
        <v>32</v>
      </c>
    </row>
    <row r="11" spans="1:15" ht="15" thickBot="1" x14ac:dyDescent="0.35">
      <c r="A11" t="s">
        <v>28</v>
      </c>
      <c r="B11" t="s">
        <v>17</v>
      </c>
      <c r="C11">
        <f t="shared" ca="1" si="4"/>
        <v>18</v>
      </c>
      <c r="D11">
        <f t="shared" ca="1" si="4"/>
        <v>97</v>
      </c>
      <c r="E11">
        <f t="shared" ca="1" si="6"/>
        <v>58</v>
      </c>
      <c r="F11">
        <f ca="1">RANDBETWEEN(0, 100)</f>
        <v>25</v>
      </c>
      <c r="G11">
        <f t="shared" ca="1" si="5"/>
        <v>61</v>
      </c>
      <c r="H11">
        <f t="shared" ca="1" si="1"/>
        <v>259</v>
      </c>
      <c r="I11">
        <f t="shared" ca="1" si="2"/>
        <v>51.8</v>
      </c>
      <c r="J11" t="str">
        <f t="shared" ca="1" si="3"/>
        <v>F</v>
      </c>
      <c r="N11" s="9" t="s">
        <v>23</v>
      </c>
      <c r="O11" s="9">
        <f ca="1">VLOOKUP(N11,$A$2:$I$11,9,0)</f>
        <v>35.6</v>
      </c>
    </row>
    <row r="12" spans="1:15" ht="16.2" thickBot="1" x14ac:dyDescent="0.35">
      <c r="A12" s="3" t="s">
        <v>30</v>
      </c>
      <c r="C12" s="4">
        <f ca="1">MAX(C2:C11)</f>
        <v>82</v>
      </c>
      <c r="D12" s="5">
        <f ca="1">MAX(D2:D11)</f>
        <v>97</v>
      </c>
      <c r="E12" s="5">
        <f ca="1">MAX(E2:E11)</f>
        <v>81</v>
      </c>
      <c r="F12" s="5">
        <f ca="1">MAX(F2:F11)</f>
        <v>91</v>
      </c>
      <c r="G12" s="6">
        <f ca="1">MAX(G2:G11)</f>
        <v>75</v>
      </c>
      <c r="N12" s="9" t="s">
        <v>25</v>
      </c>
      <c r="O12" s="9">
        <f ca="1">VLOOKUP(N12,$A$3:$I$11,9,0)</f>
        <v>76.599999999999994</v>
      </c>
    </row>
    <row r="13" spans="1:15" ht="16.2" thickBot="1" x14ac:dyDescent="0.35">
      <c r="A13" s="3" t="s">
        <v>29</v>
      </c>
      <c r="C13" s="4">
        <f ca="1">MIN(C2:C11)</f>
        <v>2</v>
      </c>
      <c r="D13" s="5">
        <f ca="1">MIN(D2:D11)</f>
        <v>4</v>
      </c>
      <c r="E13" s="5">
        <f ca="1">MIN(E2:E11)</f>
        <v>2</v>
      </c>
      <c r="F13" s="5">
        <f ca="1">MIN(F2:F11)</f>
        <v>23</v>
      </c>
      <c r="G13" s="6">
        <f ca="1">MIN(G2:G11)</f>
        <v>6</v>
      </c>
      <c r="H13" s="7"/>
      <c r="N13" s="9" t="s">
        <v>24</v>
      </c>
      <c r="O13" s="9">
        <f t="shared" ref="O13:O20" ca="1" si="7">VLOOKUP(N13,$A$3:$I$11,9,0)</f>
        <v>55.2</v>
      </c>
    </row>
    <row r="14" spans="1:15" x14ac:dyDescent="0.3">
      <c r="N14" s="9" t="s">
        <v>9</v>
      </c>
      <c r="O14" s="9">
        <f t="shared" ca="1" si="7"/>
        <v>19.8</v>
      </c>
    </row>
    <row r="15" spans="1:15" x14ac:dyDescent="0.3">
      <c r="N15" s="9" t="s">
        <v>20</v>
      </c>
      <c r="O15" s="9">
        <f t="shared" ca="1" si="7"/>
        <v>73</v>
      </c>
    </row>
    <row r="16" spans="1:15" x14ac:dyDescent="0.3">
      <c r="N16" s="9" t="s">
        <v>22</v>
      </c>
      <c r="O16" s="9">
        <f t="shared" ca="1" si="7"/>
        <v>57.4</v>
      </c>
    </row>
    <row r="17" spans="14:15" x14ac:dyDescent="0.3">
      <c r="N17" s="9" t="s">
        <v>21</v>
      </c>
      <c r="O17" s="9">
        <f t="shared" ca="1" si="7"/>
        <v>56.6</v>
      </c>
    </row>
    <row r="18" spans="14:15" x14ac:dyDescent="0.3">
      <c r="N18" s="9" t="s">
        <v>26</v>
      </c>
      <c r="O18" s="9">
        <f t="shared" ca="1" si="7"/>
        <v>63.2</v>
      </c>
    </row>
    <row r="19" spans="14:15" x14ac:dyDescent="0.3">
      <c r="N19" s="9" t="s">
        <v>27</v>
      </c>
      <c r="O19" s="9">
        <f t="shared" ca="1" si="7"/>
        <v>25.2</v>
      </c>
    </row>
    <row r="20" spans="14:15" ht="15" thickBot="1" x14ac:dyDescent="0.35">
      <c r="N20" s="10" t="s">
        <v>28</v>
      </c>
      <c r="O20" s="10">
        <f t="shared" ca="1" si="7"/>
        <v>51.8</v>
      </c>
    </row>
  </sheetData>
  <sortState ref="A2:B11">
    <sortCondition ref="A2:A11"/>
  </sortState>
  <conditionalFormatting sqref="J2:J11">
    <cfRule type="containsText" dxfId="3" priority="1" operator="containsText" text="F">
      <formula>NOT(ISERROR(SEARCH("F",J2)))</formula>
    </cfRule>
    <cfRule type="containsText" dxfId="2" priority="2" operator="containsText" text="C">
      <formula>NOT(ISERROR(SEARCH("C",J2)))</formula>
    </cfRule>
    <cfRule type="containsText" dxfId="1" priority="3" operator="containsText" text="B">
      <formula>NOT(ISERROR(SEARCH("B",J2)))</formula>
    </cfRule>
    <cfRule type="containsText" dxfId="0" priority="4" operator="containsText" text="A">
      <formula>NOT(ISERROR(SEARCH("A",J2)))</formula>
    </cfRule>
  </conditionalFormatting>
  <dataValidations count="1">
    <dataValidation type="custom" errorStyle="warning" allowBlank="1" showInputMessage="1" showErrorMessage="1" errorTitle="Invalid Roll no" error="The roll number must be in the format 20XXX-BCE-XXX" sqref="A2 D21 N11">
      <formula1>AND(LEFT(A2,2)="20", MID(A2,6,3)="BCE", ISNUMBER(VALUE(MID(A2,3,3))), ISNUMBER(VALUE(RIGHT(A2,3))))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9"/>
  <sheetViews>
    <sheetView workbookViewId="0">
      <selection activeCell="H18" sqref="H18"/>
    </sheetView>
  </sheetViews>
  <sheetFormatPr defaultRowHeight="14.4" x14ac:dyDescent="0.3"/>
  <sheetData>
    <row r="2" spans="3:8" ht="15" thickBot="1" x14ac:dyDescent="0.35"/>
    <row r="3" spans="3:8" ht="15" thickBot="1" x14ac:dyDescent="0.35">
      <c r="D3" s="14">
        <v>12</v>
      </c>
      <c r="E3" s="17">
        <v>3</v>
      </c>
      <c r="F3" s="11">
        <v>9</v>
      </c>
      <c r="H3" s="20">
        <f>SUM(D3:F3)</f>
        <v>24</v>
      </c>
    </row>
    <row r="4" spans="3:8" ht="15" thickBot="1" x14ac:dyDescent="0.35">
      <c r="D4" s="15">
        <v>5</v>
      </c>
      <c r="E4" s="18">
        <v>8</v>
      </c>
      <c r="F4" s="12">
        <v>11</v>
      </c>
      <c r="H4" s="20">
        <f>SUM(D4:F4)</f>
        <v>24</v>
      </c>
    </row>
    <row r="5" spans="3:8" ht="15" thickBot="1" x14ac:dyDescent="0.35">
      <c r="D5" s="16">
        <v>7</v>
      </c>
      <c r="E5" s="19">
        <v>13</v>
      </c>
      <c r="F5" s="13">
        <v>4</v>
      </c>
      <c r="H5" s="20">
        <f>SUM(D5:F5)</f>
        <v>24</v>
      </c>
    </row>
    <row r="6" spans="3:8" ht="15" thickBot="1" x14ac:dyDescent="0.35">
      <c r="H6" s="10">
        <f>SUM(F3+E4+D5)</f>
        <v>24</v>
      </c>
    </row>
    <row r="7" spans="3:8" ht="15" thickBot="1" x14ac:dyDescent="0.35">
      <c r="C7" s="21">
        <f>SUM(D3+E4+F5)</f>
        <v>24</v>
      </c>
      <c r="D7" s="22">
        <f>SUM(D3:D5)</f>
        <v>24</v>
      </c>
      <c r="E7" s="22">
        <f>SUM(E3:E5)</f>
        <v>24</v>
      </c>
      <c r="F7" s="6">
        <f>SUM(F3:F5)</f>
        <v>24</v>
      </c>
    </row>
    <row r="9" spans="3:8" x14ac:dyDescent="0.3">
      <c r="C9" s="24" t="str">
        <f>IF(AND(C7&lt;&gt;0,C7=D7,D7=E7,E7=F7,F7=H3,H3=H4,H5=H6),"WELLDONE")</f>
        <v>WELLDONE</v>
      </c>
      <c r="D9" s="24"/>
      <c r="E9" s="24"/>
      <c r="F9" s="24"/>
    </row>
  </sheetData>
  <mergeCells count="1">
    <mergeCell ref="C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I9" sqref="I9"/>
    </sheetView>
  </sheetViews>
  <sheetFormatPr defaultRowHeight="14.4" x14ac:dyDescent="0.3"/>
  <cols>
    <col min="1" max="1" width="24.44140625" bestFit="1" customWidth="1"/>
    <col min="2" max="2" width="20.109375" bestFit="1" customWidth="1"/>
    <col min="3" max="3" width="14.21875" bestFit="1" customWidth="1"/>
    <col min="4" max="4" width="10.5546875" bestFit="1" customWidth="1"/>
    <col min="5" max="5" width="19.33203125" bestFit="1" customWidth="1"/>
  </cols>
  <sheetData>
    <row r="1" spans="1:6" ht="15.6" x14ac:dyDescent="0.3">
      <c r="A1" s="23" t="s">
        <v>33</v>
      </c>
      <c r="B1" s="23" t="s">
        <v>34</v>
      </c>
      <c r="C1" s="23" t="s">
        <v>35</v>
      </c>
      <c r="D1" s="23" t="s">
        <v>36</v>
      </c>
      <c r="E1" s="23" t="s">
        <v>37</v>
      </c>
      <c r="F1" s="23"/>
    </row>
    <row r="2" spans="1:6" x14ac:dyDescent="0.3">
      <c r="A2" t="s">
        <v>38</v>
      </c>
      <c r="B2">
        <v>46</v>
      </c>
      <c r="C2">
        <f>IF(A2="C",B2*9/5+32,B2)</f>
        <v>114.8</v>
      </c>
      <c r="D2">
        <f>IF(A2="F",(B2-32)*9/5,B2)</f>
        <v>46</v>
      </c>
      <c r="E2" t="str">
        <f>IF(B2&gt;=35,"HOT", IF(AND(B2&gt;=20,B2&lt;=35),"WARM","COLD"))</f>
        <v>HOT</v>
      </c>
    </row>
    <row r="3" spans="1:6" x14ac:dyDescent="0.3">
      <c r="A3" t="s">
        <v>38</v>
      </c>
      <c r="B3">
        <v>11</v>
      </c>
      <c r="C3">
        <f t="shared" ref="C3:C4" si="0">IF(A3="C",B3*9/5+32,B3)</f>
        <v>51.8</v>
      </c>
      <c r="D3">
        <f t="shared" ref="D3:D4" si="1">IF(A3="F",(B3-32)*9/5,B3)</f>
        <v>11</v>
      </c>
      <c r="E3" t="str">
        <f t="shared" ref="E3:E4" si="2">IF(B3&gt;=35,"HOT", IF(AND(B3&gt;=20,B3&lt;=35),"WARM","COLD"))</f>
        <v>COLD</v>
      </c>
    </row>
    <row r="4" spans="1:6" x14ac:dyDescent="0.3">
      <c r="A4" t="s">
        <v>38</v>
      </c>
      <c r="B4">
        <v>20</v>
      </c>
      <c r="C4">
        <f t="shared" si="0"/>
        <v>68</v>
      </c>
      <c r="D4">
        <f t="shared" si="1"/>
        <v>20</v>
      </c>
      <c r="E4" t="str">
        <f t="shared" si="2"/>
        <v>WARM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2024-10-23T15:17:33Z</dcterms:created>
  <dcterms:modified xsi:type="dcterms:W3CDTF">2024-11-28T20:36:47Z</dcterms:modified>
</cp:coreProperties>
</file>